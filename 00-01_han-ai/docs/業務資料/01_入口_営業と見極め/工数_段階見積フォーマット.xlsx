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工数見積" sheetId="2" state="visible" r:id="rId2"/>
    <sheet xmlns:r="http://schemas.openxmlformats.org/officeDocument/2006/relationships" name="段階プラン" sheetId="3" state="visible" r:id="rId3"/>
    <sheet xmlns:r="http://schemas.openxmlformats.org/officeDocument/2006/relationships" name="見積対象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工数・段階見積フォーマット ── 使い方</t>
        </is>
      </c>
    </row>
    <row r="3">
      <c r="A3" s="2" t="inlineStr">
        <is>
          <t>目的：『まず1つの業務／段階』から始められる段階契約の見積を作る。二択（全部やる／やらない）にしない。</t>
        </is>
      </c>
    </row>
    <row r="4">
      <c r="A4" s="3" t="inlineStr">
        <is>
          <t>・「工数見積」にフェーズ×作業を並べ、想定時間・単価・小計を入れる（小計は自動計算）。</t>
        </is>
      </c>
    </row>
    <row r="5">
      <c r="A5" s="3" t="inlineStr">
        <is>
          <t>・「段階プラン」で、第1段階だけ／第1〜2段階／フル、の3つの金額を提示できるようにする。</t>
        </is>
      </c>
    </row>
    <row r="6">
      <c r="A6" s="2" t="inlineStr">
        <is>
          <t>留意：外部システム導入費・クライアント側の作業は見積の対象外として明記する。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12" customWidth="1" min="5" max="5"/>
    <col width="14" customWidth="1" min="6" max="6"/>
    <col width="24" customWidth="1" min="7" max="7"/>
  </cols>
  <sheetData>
    <row r="1">
      <c r="A1" s="4" t="inlineStr">
        <is>
          <t>段階</t>
        </is>
      </c>
      <c r="B1" s="4" t="inlineStr">
        <is>
          <t>フェーズ</t>
        </is>
      </c>
      <c r="C1" s="4" t="inlineStr">
        <is>
          <t>作業</t>
        </is>
      </c>
      <c r="D1" s="4" t="inlineStr">
        <is>
          <t>想定時間(h)</t>
        </is>
      </c>
      <c r="E1" s="4" t="inlineStr">
        <is>
          <t>単価(円/h)</t>
        </is>
      </c>
      <c r="F1" s="4" t="inlineStr">
        <is>
          <t>小計(円)</t>
        </is>
      </c>
      <c r="G1" s="4" t="inlineStr">
        <is>
          <t>備考</t>
        </is>
      </c>
    </row>
    <row r="2">
      <c r="A2" s="5" t="inlineStr">
        <is>
          <t>第1段階</t>
        </is>
      </c>
      <c r="B2" s="5" t="inlineStr">
        <is>
          <t>業務分析</t>
        </is>
      </c>
      <c r="C2" s="5" t="inlineStr">
        <is>
          <t>業務の洗い出し・現状分析</t>
        </is>
      </c>
      <c r="D2" s="5" t="n">
        <v>20</v>
      </c>
      <c r="E2" s="5" t="n">
        <v>8000</v>
      </c>
      <c r="F2" s="5">
        <f>D2*E2</f>
        <v/>
      </c>
      <c r="G2" s="5" t="inlineStr">
        <is>
          <t>記入例</t>
        </is>
      </c>
    </row>
    <row r="3">
      <c r="A3" s="5" t="inlineStr">
        <is>
          <t>第1段階</t>
        </is>
      </c>
      <c r="B3" s="5" t="inlineStr">
        <is>
          <t>業務分析</t>
        </is>
      </c>
      <c r="C3" s="5" t="inlineStr">
        <is>
          <t>問題の特定・課題設定</t>
        </is>
      </c>
      <c r="D3" s="5" t="n">
        <v>12</v>
      </c>
      <c r="E3" s="5" t="n">
        <v>8000</v>
      </c>
      <c r="F3" s="5">
        <f>D3*E3</f>
        <v/>
      </c>
      <c r="G3" s="5" t="inlineStr">
        <is>
          <t>記入例</t>
        </is>
      </c>
    </row>
    <row r="4">
      <c r="A4" s="5" t="inlineStr">
        <is>
          <t>第2段階</t>
        </is>
      </c>
      <c r="B4" s="5" t="inlineStr">
        <is>
          <t>施策検討</t>
        </is>
      </c>
      <c r="C4" s="5" t="inlineStr">
        <is>
          <t>施策の選定・実施計画</t>
        </is>
      </c>
      <c r="D4" s="5" t="n">
        <v>16</v>
      </c>
      <c r="E4" s="5" t="n">
        <v>8000</v>
      </c>
      <c r="F4" s="5">
        <f>D4*E4</f>
        <v/>
      </c>
      <c r="G4" s="5" t="inlineStr">
        <is>
          <t>記入例</t>
        </is>
      </c>
    </row>
    <row r="5">
      <c r="A5" s="5" t="inlineStr">
        <is>
          <t>第3段階</t>
        </is>
      </c>
      <c r="B5" s="5" t="inlineStr">
        <is>
          <t>施策実施の伴走</t>
        </is>
      </c>
      <c r="C5" s="5" t="inlineStr">
        <is>
          <t>実行支援・効果検証</t>
        </is>
      </c>
      <c r="D5" s="5" t="n">
        <v>24</v>
      </c>
      <c r="E5" s="5" t="n">
        <v>8000</v>
      </c>
      <c r="F5" s="5">
        <f>D5*E5</f>
        <v/>
      </c>
      <c r="G5" s="5" t="inlineStr">
        <is>
          <t>記入例</t>
        </is>
      </c>
    </row>
    <row r="6">
      <c r="A6" s="5" t="inlineStr"/>
      <c r="B6" s="5" t="inlineStr"/>
      <c r="C6" s="5" t="inlineStr"/>
      <c r="D6" s="5" t="inlineStr"/>
      <c r="E6" s="5" t="inlineStr"/>
      <c r="F6" s="5">
        <f>IF(D6="","",D6*E6)</f>
        <v/>
      </c>
      <c r="G6" s="5" t="inlineStr"/>
    </row>
    <row r="7">
      <c r="A7" s="5" t="inlineStr"/>
      <c r="B7" s="5" t="inlineStr"/>
      <c r="C7" s="5" t="inlineStr"/>
      <c r="D7" s="5" t="inlineStr"/>
      <c r="E7" s="5" t="inlineStr"/>
      <c r="F7" s="5">
        <f>IF(D7="","",D7*E7)</f>
        <v/>
      </c>
      <c r="G7" s="5" t="inlineStr"/>
    </row>
    <row r="8">
      <c r="A8" s="5" t="inlineStr"/>
      <c r="B8" s="5" t="inlineStr"/>
      <c r="C8" s="5" t="inlineStr"/>
      <c r="D8" s="5" t="inlineStr"/>
      <c r="E8" s="5" t="inlineStr"/>
      <c r="F8" s="5">
        <f>IF(D8="","",D8*E8)</f>
        <v/>
      </c>
      <c r="G8" s="5" t="inlineStr"/>
    </row>
    <row r="9">
      <c r="A9" s="5" t="inlineStr"/>
      <c r="B9" s="5" t="inlineStr"/>
      <c r="C9" s="5" t="inlineStr"/>
      <c r="D9" s="5" t="inlineStr"/>
      <c r="E9" s="5" t="inlineStr"/>
      <c r="F9" s="5">
        <f>IF(D9="","",D9*E9)</f>
        <v/>
      </c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>
        <f>IF(D10="","",D10*E10)</f>
        <v/>
      </c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>
        <f>IF(D11="","",D11*E11)</f>
        <v/>
      </c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>
        <f>IF(D12="","",D12*E12)</f>
        <v/>
      </c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>
        <f>IF(D13="","",D13*E13)</f>
        <v/>
      </c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>
        <f>IF(D14="","",D14*E14)</f>
        <v/>
      </c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>
        <f>IF(D15="","",D15*E15)</f>
        <v/>
      </c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>
        <f>IF(D16="","",D16*E16)</f>
        <v/>
      </c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>
        <f>IF(D17="","",D17*E17)</f>
        <v/>
      </c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>
        <f>IF(D18="","",D18*E18)</f>
        <v/>
      </c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>
        <f>IF(D19="","",D19*E19)</f>
        <v/>
      </c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>
        <f>IF(D20="","",D20*E20)</f>
        <v/>
      </c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>
        <f>IF(D21="","",D21*E21)</f>
        <v/>
      </c>
      <c r="G21" s="5" t="inlineStr"/>
    </row>
    <row r="22">
      <c r="A22" s="5" t="inlineStr"/>
      <c r="B22" s="5" t="inlineStr"/>
      <c r="C22" s="5" t="inlineStr"/>
      <c r="D22" s="5" t="inlineStr"/>
      <c r="E22" s="5" t="inlineStr"/>
      <c r="F22" s="5">
        <f>IF(D22="","",D22*E22)</f>
        <v/>
      </c>
      <c r="G22" s="5" t="inlineStr"/>
    </row>
    <row r="23">
      <c r="A23" s="5" t="inlineStr"/>
      <c r="B23" s="5" t="inlineStr"/>
      <c r="C23" s="5" t="inlineStr"/>
      <c r="D23" s="5" t="inlineStr"/>
      <c r="E23" s="5" t="inlineStr"/>
      <c r="F23" s="5">
        <f>IF(D23="","",D23*E23)</f>
        <v/>
      </c>
      <c r="G23" s="5" t="inlineStr"/>
    </row>
    <row r="24">
      <c r="A24" s="5" t="inlineStr"/>
      <c r="B24" s="5" t="inlineStr"/>
      <c r="C24" s="5" t="inlineStr"/>
      <c r="D24" s="5" t="inlineStr"/>
      <c r="E24" s="5" t="inlineStr"/>
      <c r="F24" s="5">
        <f>IF(D24="","",D24*E24)</f>
        <v/>
      </c>
      <c r="G24" s="5" t="inlineStr"/>
    </row>
    <row r="25">
      <c r="A25" s="5" t="inlineStr"/>
      <c r="B25" s="5" t="inlineStr"/>
      <c r="C25" s="5" t="inlineStr"/>
      <c r="D25" s="5" t="inlineStr"/>
      <c r="E25" s="5" t="inlineStr"/>
      <c r="F25" s="5">
        <f>IF(D25="","",D25*E25)</f>
        <v/>
      </c>
      <c r="G2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4" customWidth="1" min="4" max="4"/>
    <col width="32" customWidth="1" min="5" max="5"/>
  </cols>
  <sheetData>
    <row r="1">
      <c r="A1" s="4" t="inlineStr">
        <is>
          <t>プラン</t>
        </is>
      </c>
      <c r="B1" s="4" t="inlineStr">
        <is>
          <t>含む段階</t>
        </is>
      </c>
      <c r="C1" s="4" t="inlineStr">
        <is>
          <t>金額(円・税別)</t>
        </is>
      </c>
      <c r="D1" s="4" t="inlineStr">
        <is>
          <t>想定期間</t>
        </is>
      </c>
      <c r="E1" s="4" t="inlineStr">
        <is>
          <t>このプランで得られること</t>
        </is>
      </c>
    </row>
    <row r="2">
      <c r="A2" s="5" t="inlineStr">
        <is>
          <t>A：まず第1段階</t>
        </is>
      </c>
      <c r="B2" s="5" t="inlineStr">
        <is>
          <t>業務分析のみ</t>
        </is>
      </c>
      <c r="C2" s="5">
        <f>SUMIF('工数見積'!A:A,"第1段階",'工数見積'!F:F)</f>
        <v/>
      </c>
      <c r="D2" s="5" t="inlineStr">
        <is>
          <t>約1〜2か月</t>
        </is>
      </c>
      <c r="E2" s="5" t="inlineStr">
        <is>
          <t>課題の整理。次に進むかを判断できる</t>
        </is>
      </c>
    </row>
    <row r="3">
      <c r="A3" s="5" t="inlineStr">
        <is>
          <t>B：第1〜2段階</t>
        </is>
      </c>
      <c r="B3" s="5" t="inlineStr">
        <is>
          <t>業務分析＋施策検討</t>
        </is>
      </c>
      <c r="C3" s="5">
        <f>SUMIF('工数見積'!A:A,"第1段階",'工数見積'!F:F)</f>
        <v/>
      </c>
      <c r="D3" s="5" t="inlineStr">
        <is>
          <t>約2〜3か月</t>
        </is>
      </c>
      <c r="E3" s="5" t="inlineStr">
        <is>
          <t>打ち手の計画まで</t>
        </is>
      </c>
    </row>
    <row r="4">
      <c r="A4" s="5" t="inlineStr">
        <is>
          <t>C：フル</t>
        </is>
      </c>
      <c r="B4" s="5" t="inlineStr">
        <is>
          <t>第1〜3段階</t>
        </is>
      </c>
      <c r="C4" s="5">
        <f>SUMIF('工数見積'!A:A,"第1段階",'工数見積'!F:F)+SUMIF('工数見積'!A:A,"第2段階",'工数見積'!F:F)</f>
        <v/>
      </c>
      <c r="D4" s="5" t="inlineStr">
        <is>
          <t>約4〜6か月</t>
        </is>
      </c>
      <c r="E4" s="5" t="inlineStr">
        <is>
          <t>実行・定着まで伴走</t>
        </is>
      </c>
    </row>
    <row r="5">
      <c r="C5">
        <f>SUM('工数見積'!F:F)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4" t="inlineStr">
        <is>
          <t>対象外の項目</t>
        </is>
      </c>
      <c r="B1" s="4" t="inlineStr">
        <is>
          <t>備考</t>
        </is>
      </c>
    </row>
    <row r="2">
      <c r="A2" s="5" t="inlineStr">
        <is>
          <t>外部システム・ツールの導入費／月額利用料</t>
        </is>
      </c>
      <c r="B2" s="5" t="inlineStr">
        <is>
          <t>クライアント契約</t>
        </is>
      </c>
    </row>
    <row r="3">
      <c r="A3" s="5" t="inlineStr">
        <is>
          <t>クライアント側担当者の作業時間</t>
        </is>
      </c>
      <c r="B3" s="5" t="inlineStr"/>
    </row>
    <row r="4">
      <c r="A4" s="5" t="inlineStr">
        <is>
          <t>PoC・システム構築の実装費（別途見積）</t>
        </is>
      </c>
      <c r="B4" s="5" t="inlineStr"/>
    </row>
    <row r="5">
      <c r="A5" s="5" t="inlineStr">
        <is>
          <t>研修（希望時は別メニュー）</t>
        </is>
      </c>
      <c r="B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2026-09-03T21:55:35Z</dcterms:created>
  <dcterms:modified xmlns:dcterms="http://purl.org/dc/terms/" xmlns:xsi="http://www.w3.org/2001/XMLSchema-instance" xsi:type="dcterms:W3CDTF">2026-09-03T21:55:35Z</dcterms:modified>
</cp:coreProperties>
</file>