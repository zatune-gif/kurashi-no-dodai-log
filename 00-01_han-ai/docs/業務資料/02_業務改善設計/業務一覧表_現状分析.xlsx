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業務一覧表" sheetId="2" state="visible" r:id="rId2"/>
    <sheet xmlns:r="http://schemas.openxmlformats.org/officeDocument/2006/relationships" name="現状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業務一覧表 ／ 現状分析 ── 使い方</t>
        </is>
      </c>
    </row>
    <row r="3">
      <c r="A3" s="2" t="inlineStr">
        <is>
          <t>目的：対象業務を作業単位まで割り、数字（時間・件数）を入れて、どこに負担が集中しているかを見えるようにする。</t>
        </is>
      </c>
    </row>
    <row r="4">
      <c r="A4" s="2" t="inlineStr">
        <is>
          <t>手順：</t>
        </is>
      </c>
    </row>
    <row r="5">
      <c r="A5" s="3" t="inlineStr">
        <is>
          <t>・対象の範囲を『開始点（何をきっかけに始まるか）』『終了点（何をもって終わりか）』で決める。</t>
        </is>
      </c>
    </row>
    <row r="6">
      <c r="A6" s="3" t="inlineStr">
        <is>
          <t>・作業は「入ってくるもの → やること → 出てくるもの」の連なりで書く。</t>
        </is>
      </c>
    </row>
    <row r="7">
      <c r="A7" s="3" t="inlineStr">
        <is>
          <t>・粒度の目安は『動詞1つで言い切れるところまで』。「確認して承認する」は2行に分ける。</t>
        </is>
      </c>
    </row>
    <row r="8">
      <c r="A8" s="3" t="inlineStr">
        <is>
          <t>・各作業に 担当／1回の所要時間／頻度／年間件数 を入れる。年間工数は自動計算される。</t>
        </is>
      </c>
    </row>
    <row r="9">
      <c r="A9" s="3" t="inlineStr">
        <is>
          <t>・「現状分析」シートで年間工数の大きい順に並べ替え、ボトルネック候補を絞る。</t>
        </is>
      </c>
    </row>
    <row r="10">
      <c r="A10" s="2" t="inlineStr">
        <is>
          <t>留意：着手すべきは『一番困っている人の作業』ではなく『一番詰まっている工程』。声でなく数字で判断する。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4" customWidth="1" min="4" max="4"/>
    <col width="12" customWidth="1" min="5" max="5"/>
    <col width="20" customWidth="1" min="6" max="6"/>
    <col width="20" customWidth="1" min="7" max="7"/>
    <col width="16" customWidth="1" min="8" max="8"/>
    <col width="14" customWidth="1" min="9" max="9"/>
    <col width="14" customWidth="1" min="10" max="10"/>
    <col width="10" customWidth="1" min="11" max="11"/>
    <col width="14" customWidth="1" min="12" max="12"/>
    <col width="8" customWidth="1" min="13" max="13"/>
    <col width="32" customWidth="1" min="14" max="14"/>
  </cols>
  <sheetData>
    <row r="1">
      <c r="A1" s="4" t="inlineStr">
        <is>
          <t>No</t>
        </is>
      </c>
      <c r="B1" s="4" t="inlineStr">
        <is>
          <t>大分類</t>
        </is>
      </c>
      <c r="C1" s="4" t="inlineStr">
        <is>
          <t>中分類</t>
        </is>
      </c>
      <c r="D1" s="4" t="inlineStr">
        <is>
          <t>作業名（動詞1つ）</t>
        </is>
      </c>
      <c r="E1" s="4" t="inlineStr">
        <is>
          <t>担当者</t>
        </is>
      </c>
      <c r="F1" s="4" t="inlineStr">
        <is>
          <t>入力（前工程から）</t>
        </is>
      </c>
      <c r="G1" s="4" t="inlineStr">
        <is>
          <t>出力（次工程へ）</t>
        </is>
      </c>
      <c r="H1" s="4" t="inlineStr">
        <is>
          <t>使用ツール</t>
        </is>
      </c>
      <c r="I1" s="4" t="inlineStr">
        <is>
          <t>1回の所要時間(分)</t>
        </is>
      </c>
      <c r="J1" s="4" t="inlineStr">
        <is>
          <t>頻度</t>
        </is>
      </c>
      <c r="K1" s="4" t="inlineStr">
        <is>
          <t>年間件数</t>
        </is>
      </c>
      <c r="L1" s="4" t="inlineStr">
        <is>
          <t>年間工数(時間)</t>
        </is>
      </c>
      <c r="M1" s="4" t="inlineStr">
        <is>
          <t>粒度OK?</t>
        </is>
      </c>
      <c r="N1" s="4" t="inlineStr">
        <is>
          <t>備考</t>
        </is>
      </c>
    </row>
    <row r="2">
      <c r="A2" s="5" t="n">
        <v>1</v>
      </c>
      <c r="B2" s="5" t="inlineStr">
        <is>
          <t>受注</t>
        </is>
      </c>
      <c r="C2" s="5" t="inlineStr">
        <is>
          <t>受付</t>
        </is>
      </c>
      <c r="D2" s="5" t="inlineStr">
        <is>
          <t>注文の連絡を受ける</t>
        </is>
      </c>
      <c r="E2" s="5" t="inlineStr">
        <is>
          <t>営業事務</t>
        </is>
      </c>
      <c r="F2" s="5" t="inlineStr">
        <is>
          <t>顧客からのメール/電話</t>
        </is>
      </c>
      <c r="G2" s="5" t="inlineStr">
        <is>
          <t>受注メモ</t>
        </is>
      </c>
      <c r="H2" s="5" t="inlineStr">
        <is>
          <t>メール</t>
        </is>
      </c>
      <c r="I2" s="5" t="n">
        <v>5</v>
      </c>
      <c r="J2" s="5" t="inlineStr">
        <is>
          <t>毎日（約10件）</t>
        </is>
      </c>
      <c r="K2" s="5" t="n">
        <v>2400</v>
      </c>
      <c r="L2" s="5">
        <f>I2*K2/60</f>
        <v/>
      </c>
      <c r="M2" s="5" t="inlineStr">
        <is>
          <t>OK</t>
        </is>
      </c>
      <c r="N2" s="5" t="inlineStr">
        <is>
          <t>記入例</t>
        </is>
      </c>
    </row>
    <row r="3">
      <c r="A3" s="5" t="n">
        <v>2</v>
      </c>
      <c r="B3" s="5" t="inlineStr">
        <is>
          <t>受注</t>
        </is>
      </c>
      <c r="C3" s="5" t="inlineStr">
        <is>
          <t>確認</t>
        </is>
      </c>
      <c r="D3" s="5" t="inlineStr">
        <is>
          <t>在庫を確認する</t>
        </is>
      </c>
      <c r="E3" s="5" t="inlineStr">
        <is>
          <t>倉庫担当</t>
        </is>
      </c>
      <c r="F3" s="5" t="inlineStr">
        <is>
          <t>受注メモ</t>
        </is>
      </c>
      <c r="G3" s="5" t="inlineStr">
        <is>
          <t>在庫可否</t>
        </is>
      </c>
      <c r="H3" s="5" t="inlineStr">
        <is>
          <t>在庫表(Excel)</t>
        </is>
      </c>
      <c r="I3" s="5" t="n">
        <v>15</v>
      </c>
      <c r="J3" s="5" t="inlineStr">
        <is>
          <t>毎日（一括処理）</t>
        </is>
      </c>
      <c r="K3" s="5" t="n">
        <v>2400</v>
      </c>
      <c r="L3" s="5">
        <f>I3*K3/60</f>
        <v/>
      </c>
      <c r="M3" s="5" t="inlineStr">
        <is>
          <t>OK</t>
        </is>
      </c>
      <c r="N3" s="5" t="inlineStr">
        <is>
          <t>記入例：担当1名・手作業・1日1回＝ボトルネック候補</t>
        </is>
      </c>
    </row>
    <row r="4">
      <c r="A4" s="5" t="n">
        <v>3</v>
      </c>
      <c r="B4" s="5" t="inlineStr">
        <is>
          <t>受注</t>
        </is>
      </c>
      <c r="C4" s="5" t="inlineStr">
        <is>
          <t>指示</t>
        </is>
      </c>
      <c r="D4" s="5" t="inlineStr">
        <is>
          <t>出荷を指示する</t>
        </is>
      </c>
      <c r="E4" s="5" t="inlineStr">
        <is>
          <t>営業事務</t>
        </is>
      </c>
      <c r="F4" s="5" t="inlineStr">
        <is>
          <t>在庫可否</t>
        </is>
      </c>
      <c r="G4" s="5" t="inlineStr">
        <is>
          <t>出荷指示書</t>
        </is>
      </c>
      <c r="H4" s="5" t="inlineStr">
        <is>
          <t>販売管理システム</t>
        </is>
      </c>
      <c r="I4" s="5" t="n">
        <v>8</v>
      </c>
      <c r="J4" s="5" t="inlineStr">
        <is>
          <t>毎日</t>
        </is>
      </c>
      <c r="K4" s="5" t="n">
        <v>2400</v>
      </c>
      <c r="L4" s="5">
        <f>I4*K4/60</f>
        <v/>
      </c>
      <c r="M4" s="5" t="inlineStr">
        <is>
          <t>OK</t>
        </is>
      </c>
      <c r="N4" s="5" t="inlineStr">
        <is>
          <t>記入例</t>
        </is>
      </c>
    </row>
    <row r="5">
      <c r="A5" s="5" t="n">
        <v>4</v>
      </c>
      <c r="B5" s="5" t="inlineStr">
        <is>
          <t>受注</t>
        </is>
      </c>
      <c r="C5" s="5" t="inlineStr">
        <is>
          <t>請求</t>
        </is>
      </c>
      <c r="D5" s="5" t="inlineStr">
        <is>
          <t>請求書を発行する</t>
        </is>
      </c>
      <c r="E5" s="5" t="inlineStr">
        <is>
          <t>経理</t>
        </is>
      </c>
      <c r="F5" s="5" t="inlineStr">
        <is>
          <t>出荷実績</t>
        </is>
      </c>
      <c r="G5" s="5" t="inlineStr">
        <is>
          <t>請求書</t>
        </is>
      </c>
      <c r="H5" s="5" t="inlineStr">
        <is>
          <t>会計ソフト</t>
        </is>
      </c>
      <c r="I5" s="5" t="n">
        <v>10</v>
      </c>
      <c r="J5" s="5" t="inlineStr">
        <is>
          <t>毎日</t>
        </is>
      </c>
      <c r="K5" s="5" t="n">
        <v>2400</v>
      </c>
      <c r="L5" s="5">
        <f>I5*K5/60</f>
        <v/>
      </c>
      <c r="M5" s="5" t="inlineStr">
        <is>
          <t>OK</t>
        </is>
      </c>
      <c r="N5" s="5" t="inlineStr">
        <is>
          <t>記入例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>
        <f>IF(I6="","",I6*K6/60)</f>
        <v/>
      </c>
      <c r="M6" s="5" t="inlineStr"/>
      <c r="N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>
        <f>IF(I7="","",I7*K7/60)</f>
        <v/>
      </c>
      <c r="M7" s="5" t="inlineStr"/>
      <c r="N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>
        <f>IF(I8="","",I8*K8/60)</f>
        <v/>
      </c>
      <c r="M8" s="5" t="inlineStr"/>
      <c r="N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>
        <f>IF(I9="","",I9*K9/60)</f>
        <v/>
      </c>
      <c r="M9" s="5" t="inlineStr"/>
      <c r="N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>
        <f>IF(I10="","",I10*K10/60)</f>
        <v/>
      </c>
      <c r="M10" s="5" t="inlineStr"/>
      <c r="N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>
        <f>IF(I11="","",I11*K11/60)</f>
        <v/>
      </c>
      <c r="M11" s="5" t="inlineStr"/>
      <c r="N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>
        <f>IF(I12="","",I12*K12/60)</f>
        <v/>
      </c>
      <c r="M12" s="5" t="inlineStr"/>
      <c r="N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>
        <f>IF(I13="","",I13*K13/60)</f>
        <v/>
      </c>
      <c r="M13" s="5" t="inlineStr"/>
      <c r="N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>
        <f>IF(I14="","",I14*K14/60)</f>
        <v/>
      </c>
      <c r="M14" s="5" t="inlineStr"/>
      <c r="N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>
        <f>IF(I15="","",I15*K15/60)</f>
        <v/>
      </c>
      <c r="M15" s="5" t="inlineStr"/>
      <c r="N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>
        <f>IF(I16="","",I16*K16/60)</f>
        <v/>
      </c>
      <c r="M16" s="5" t="inlineStr"/>
      <c r="N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>
        <f>IF(I17="","",I17*K17/60)</f>
        <v/>
      </c>
      <c r="M17" s="5" t="inlineStr"/>
      <c r="N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>
        <f>IF(I18="","",I18*K18/60)</f>
        <v/>
      </c>
      <c r="M18" s="5" t="inlineStr"/>
      <c r="N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>
        <f>IF(I19="","",I19*K19/60)</f>
        <v/>
      </c>
      <c r="M19" s="5" t="inlineStr"/>
      <c r="N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>
        <f>IF(I20="","",I20*K20/60)</f>
        <v/>
      </c>
      <c r="M20" s="5" t="inlineStr"/>
      <c r="N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>
        <f>IF(I21="","",I21*K21/60)</f>
        <v/>
      </c>
      <c r="M21" s="5" t="inlineStr"/>
      <c r="N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>
        <f>IF(I22="","",I22*K22/60)</f>
        <v/>
      </c>
      <c r="M22" s="5" t="inlineStr"/>
      <c r="N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>
        <f>IF(I23="","",I23*K23/60)</f>
        <v/>
      </c>
      <c r="M23" s="5" t="inlineStr"/>
      <c r="N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>
        <f>IF(I24="","",I24*K24/60)</f>
        <v/>
      </c>
      <c r="M24" s="5" t="inlineStr"/>
      <c r="N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>
        <f>IF(I25="","",I25*K25/60)</f>
        <v/>
      </c>
      <c r="M25" s="5" t="inlineStr"/>
      <c r="N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>
        <f>IF(I26="","",I26*K26/60)</f>
        <v/>
      </c>
      <c r="M26" s="5" t="inlineStr"/>
      <c r="N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>
        <f>IF(I27="","",I27*K27/60)</f>
        <v/>
      </c>
      <c r="M27" s="5" t="inlineStr"/>
      <c r="N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>
        <f>IF(I28="","",I28*K28/60)</f>
        <v/>
      </c>
      <c r="M28" s="5" t="inlineStr"/>
      <c r="N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>
        <f>IF(I29="","",I29*K29/60)</f>
        <v/>
      </c>
      <c r="M29" s="5" t="inlineStr"/>
      <c r="N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>
        <f>IF(I30="","",I30*K30/60)</f>
        <v/>
      </c>
      <c r="M30" s="5" t="inlineStr"/>
      <c r="N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>
        <f>IF(I31="","",I31*K31/60)</f>
        <v/>
      </c>
      <c r="M31" s="5" t="inlineStr"/>
      <c r="N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>
        <f>IF(I32="","",I32*K32/60)</f>
        <v/>
      </c>
      <c r="M32" s="5" t="inlineStr"/>
      <c r="N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>
        <f>IF(I33="","",I33*K33/60)</f>
        <v/>
      </c>
      <c r="M33" s="5" t="inlineStr"/>
      <c r="N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>
        <f>IF(I34="","",I34*K34/60)</f>
        <v/>
      </c>
      <c r="M34" s="5" t="inlineStr"/>
      <c r="N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>
        <f>IF(I35="","",I35*K35/60)</f>
        <v/>
      </c>
      <c r="M35" s="5" t="inlineStr"/>
      <c r="N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>
        <f>IF(I36="","",I36*K36/60)</f>
        <v/>
      </c>
      <c r="M36" s="5" t="inlineStr"/>
      <c r="N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>
        <f>IF(I37="","",I37*K37/60)</f>
        <v/>
      </c>
      <c r="M37" s="5" t="inlineStr"/>
      <c r="N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>
        <f>IF(I38="","",I38*K38/60)</f>
        <v/>
      </c>
      <c r="M38" s="5" t="inlineStr"/>
      <c r="N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>
        <f>IF(I39="","",I39*K39/60)</f>
        <v/>
      </c>
      <c r="M39" s="5" t="inlineStr"/>
      <c r="N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>
        <f>IF(I40="","",I40*K40/60)</f>
        <v/>
      </c>
      <c r="M40" s="5" t="inlineStr"/>
      <c r="N4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  <col width="40" customWidth="1" min="6" max="6"/>
    <col width="34" customWidth="1" min="7" max="7"/>
  </cols>
  <sheetData>
    <row r="1">
      <c r="A1" s="6" t="inlineStr">
        <is>
          <t>年間工数の大きい順に並べ、上位から着手候補を検討する。作業名と年間工数(時間)を業務一覧表から転記すると、構成比・累積比は自動計算される。</t>
        </is>
      </c>
    </row>
    <row r="3">
      <c r="A3" s="4" t="inlineStr">
        <is>
          <t>作業名</t>
        </is>
      </c>
      <c r="B3" s="4" t="inlineStr">
        <is>
          <t>年間工数(時間)</t>
        </is>
      </c>
      <c r="C3" s="4" t="inlineStr">
        <is>
          <t>構成比</t>
        </is>
      </c>
      <c r="D3" s="4" t="inlineStr">
        <is>
          <t>累積比</t>
        </is>
      </c>
      <c r="E3" s="4" t="inlineStr">
        <is>
          <t>滞留・待ち時間</t>
        </is>
      </c>
      <c r="F3" s="4" t="inlineStr">
        <is>
          <t>ボトルネックの兆候（担当1名/手作業/低頻度 等）</t>
        </is>
      </c>
      <c r="G3" s="4" t="inlineStr">
        <is>
          <t>所見</t>
        </is>
      </c>
    </row>
    <row r="4">
      <c r="A4" s="5" t="inlineStr">
        <is>
          <t>（業務一覧表から転記）</t>
        </is>
      </c>
      <c r="B4" s="5" t="inlineStr"/>
      <c r="C4" s="7">
        <f>IF($B4="","",$B4/SUM($B$4:$B$15))</f>
        <v/>
      </c>
      <c r="D4" s="7">
        <f>IF($B4="","",SUM($B$4:$B4)/SUM($B$4:$B$15))</f>
        <v/>
      </c>
      <c r="E4" s="5" t="inlineStr"/>
      <c r="F4" s="5" t="inlineStr"/>
      <c r="G4" s="5" t="inlineStr"/>
    </row>
    <row r="5">
      <c r="A5" s="5" t="inlineStr"/>
      <c r="B5" s="5" t="inlineStr"/>
      <c r="C5" s="7">
        <f>IF($B5="","",$B5/SUM($B$4:$B$15))</f>
        <v/>
      </c>
      <c r="D5" s="7">
        <f>IF($B5="","",SUM($B$4:$B5)/SUM($B$4:$B$15))</f>
        <v/>
      </c>
      <c r="E5" s="5" t="inlineStr"/>
      <c r="F5" s="5" t="inlineStr"/>
      <c r="G5" s="5" t="inlineStr"/>
    </row>
    <row r="6">
      <c r="A6" s="5" t="inlineStr"/>
      <c r="B6" s="5" t="inlineStr"/>
      <c r="C6" s="7">
        <f>IF($B6="","",$B6/SUM($B$4:$B$15))</f>
        <v/>
      </c>
      <c r="D6" s="7">
        <f>IF($B6="","",SUM($B$4:$B6)/SUM($B$4:$B$15))</f>
        <v/>
      </c>
      <c r="E6" s="5" t="inlineStr"/>
      <c r="F6" s="5" t="inlineStr"/>
      <c r="G6" s="5" t="inlineStr"/>
    </row>
    <row r="7">
      <c r="A7" s="5" t="inlineStr"/>
      <c r="B7" s="5" t="inlineStr"/>
      <c r="C7" s="7">
        <f>IF($B7="","",$B7/SUM($B$4:$B$15))</f>
        <v/>
      </c>
      <c r="D7" s="7">
        <f>IF($B7="","",SUM($B$4:$B7)/SUM($B$4:$B$15))</f>
        <v/>
      </c>
      <c r="E7" s="5" t="inlineStr"/>
      <c r="F7" s="5" t="inlineStr"/>
      <c r="G7" s="5" t="inlineStr"/>
    </row>
    <row r="8">
      <c r="A8" s="5" t="inlineStr"/>
      <c r="B8" s="5" t="inlineStr"/>
      <c r="C8" s="7">
        <f>IF($B8="","",$B8/SUM($B$4:$B$15))</f>
        <v/>
      </c>
      <c r="D8" s="7">
        <f>IF($B8="","",SUM($B$4:$B8)/SUM($B$4:$B$15))</f>
        <v/>
      </c>
      <c r="E8" s="5" t="inlineStr"/>
      <c r="F8" s="5" t="inlineStr"/>
      <c r="G8" s="5" t="inlineStr"/>
    </row>
    <row r="9">
      <c r="A9" s="5" t="inlineStr"/>
      <c r="B9" s="5" t="inlineStr"/>
      <c r="C9" s="7">
        <f>IF($B9="","",$B9/SUM($B$4:$B$15))</f>
        <v/>
      </c>
      <c r="D9" s="7">
        <f>IF($B9="","",SUM($B$4:$B9)/SUM($B$4:$B$15))</f>
        <v/>
      </c>
      <c r="E9" s="5" t="inlineStr"/>
      <c r="F9" s="5" t="inlineStr"/>
      <c r="G9" s="5" t="inlineStr"/>
    </row>
    <row r="10">
      <c r="A10" s="5" t="inlineStr"/>
      <c r="B10" s="5" t="inlineStr"/>
      <c r="C10" s="7">
        <f>IF($B10="","",$B10/SUM($B$4:$B$15))</f>
        <v/>
      </c>
      <c r="D10" s="7">
        <f>IF($B10="","",SUM($B$4:$B10)/SUM($B$4:$B$15))</f>
        <v/>
      </c>
      <c r="E10" s="5" t="inlineStr"/>
      <c r="F10" s="5" t="inlineStr"/>
      <c r="G10" s="5" t="inlineStr"/>
    </row>
    <row r="11">
      <c r="A11" s="5" t="inlineStr"/>
      <c r="B11" s="5" t="inlineStr"/>
      <c r="C11" s="7">
        <f>IF($B11="","",$B11/SUM($B$4:$B$15))</f>
        <v/>
      </c>
      <c r="D11" s="7">
        <f>IF($B11="","",SUM($B$4:$B11)/SUM($B$4:$B$15))</f>
        <v/>
      </c>
      <c r="E11" s="5" t="inlineStr"/>
      <c r="F11" s="5" t="inlineStr"/>
      <c r="G11" s="5" t="inlineStr"/>
    </row>
    <row r="12">
      <c r="A12" s="5" t="inlineStr"/>
      <c r="B12" s="5" t="inlineStr"/>
      <c r="C12" s="7">
        <f>IF($B12="","",$B12/SUM($B$4:$B$15))</f>
        <v/>
      </c>
      <c r="D12" s="7">
        <f>IF($B12="","",SUM($B$4:$B12)/SUM($B$4:$B$15))</f>
        <v/>
      </c>
      <c r="E12" s="5" t="inlineStr"/>
      <c r="F12" s="5" t="inlineStr"/>
      <c r="G12" s="5" t="inlineStr"/>
    </row>
    <row r="13">
      <c r="A13" s="5" t="inlineStr"/>
      <c r="B13" s="5" t="inlineStr"/>
      <c r="C13" s="7">
        <f>IF($B13="","",$B13/SUM($B$4:$B$15))</f>
        <v/>
      </c>
      <c r="D13" s="7">
        <f>IF($B13="","",SUM($B$4:$B13)/SUM($B$4:$B$15))</f>
        <v/>
      </c>
      <c r="E13" s="5" t="inlineStr"/>
      <c r="F13" s="5" t="inlineStr"/>
      <c r="G13" s="5" t="inlineStr"/>
    </row>
    <row r="14">
      <c r="A14" s="5" t="inlineStr"/>
      <c r="B14" s="5" t="inlineStr"/>
      <c r="C14" s="7">
        <f>IF($B14="","",$B14/SUM($B$4:$B$15))</f>
        <v/>
      </c>
      <c r="D14" s="7">
        <f>IF($B14="","",SUM($B$4:$B14)/SUM($B$4:$B$15))</f>
        <v/>
      </c>
      <c r="E14" s="5" t="inlineStr"/>
      <c r="F14" s="5" t="inlineStr"/>
      <c r="G14" s="5" t="inlineStr"/>
    </row>
    <row r="15">
      <c r="A15" s="5" t="inlineStr"/>
      <c r="B15" s="5" t="inlineStr"/>
      <c r="C15" s="7">
        <f>IF($B15="","",$B15/SUM($B$4:$B$15))</f>
        <v/>
      </c>
      <c r="D15" s="7">
        <f>IF($B15="","",SUM($B$4:$B15)/SUM($B$4:$B$15))</f>
        <v/>
      </c>
      <c r="E15" s="5" t="inlineStr"/>
      <c r="F15" s="5" t="inlineStr"/>
      <c r="G1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2026-09-03T16:06:22Z</dcterms:created>
  <dcterms:modified xmlns:dcterms="http://purl.org/dc/terms/" xmlns:xsi="http://www.w3.org/2001/XMLSchema-instance" xsi:type="dcterms:W3CDTF">2026-09-03T16:06:22Z</dcterms:modified>
</cp:coreProperties>
</file>